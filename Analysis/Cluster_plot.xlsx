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aca\Code\git\Porphyria-genetics\Analysis\"/>
    </mc:Choice>
  </mc:AlternateContent>
  <xr:revisionPtr revIDLastSave="0" documentId="13_ncr:1_{2B4A246E-209A-4626-A01D-29BC5D502AE2}" xr6:coauthVersionLast="47" xr6:coauthVersionMax="47" xr10:uidLastSave="{00000000-0000-0000-0000-000000000000}"/>
  <bookViews>
    <workbookView xWindow="4788" yWindow="3504" windowWidth="11712" windowHeight="6000" xr2:uid="{26CC0772-7952-4DDA-B9D2-72997B22B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L15" i="1"/>
  <c r="F1" i="1"/>
  <c r="F2" i="1"/>
  <c r="L3" i="1"/>
  <c r="L4" i="1"/>
  <c r="L5" i="1"/>
  <c r="L6" i="1"/>
  <c r="L2" i="1"/>
  <c r="D126" i="1"/>
  <c r="C126" i="1"/>
  <c r="H10" i="1" s="1"/>
  <c r="H26" i="1" l="1"/>
  <c r="H25" i="1"/>
  <c r="H27" i="1"/>
  <c r="H19" i="1"/>
  <c r="H18" i="1"/>
  <c r="H17" i="1"/>
  <c r="H11" i="1"/>
  <c r="H8" i="1"/>
  <c r="H9" i="1"/>
  <c r="H24" i="1"/>
  <c r="H16" i="1"/>
  <c r="H2" i="1"/>
  <c r="H23" i="1"/>
  <c r="H15" i="1"/>
  <c r="H7" i="1"/>
  <c r="H14" i="1"/>
  <c r="H29" i="1"/>
  <c r="H21" i="1"/>
  <c r="H13" i="1"/>
  <c r="H5" i="1"/>
  <c r="J2" i="1"/>
  <c r="H30" i="1"/>
  <c r="H22" i="1"/>
  <c r="H6" i="1"/>
  <c r="H28" i="1"/>
  <c r="H20" i="1"/>
  <c r="H12" i="1"/>
  <c r="H4" i="1"/>
  <c r="H3" i="1"/>
</calcChain>
</file>

<file path=xl/sharedStrings.xml><?xml version="1.0" encoding="utf-8"?>
<sst xmlns="http://schemas.openxmlformats.org/spreadsheetml/2006/main" count="174" uniqueCount="56">
  <si>
    <t>Family</t>
  </si>
  <si>
    <t>Phenotype</t>
  </si>
  <si>
    <t>AIP</t>
  </si>
  <si>
    <t>CEP</t>
  </si>
  <si>
    <t>EPP</t>
  </si>
  <si>
    <t>fPCT</t>
  </si>
  <si>
    <t>HCP</t>
  </si>
  <si>
    <t>VP</t>
  </si>
  <si>
    <t>XLEPP</t>
  </si>
  <si>
    <t>TBA1</t>
  </si>
  <si>
    <t>TBA10</t>
  </si>
  <si>
    <t>TBA11</t>
  </si>
  <si>
    <t>TBA12</t>
  </si>
  <si>
    <t>TBA13</t>
  </si>
  <si>
    <t>TBA14</t>
  </si>
  <si>
    <t>TBA15</t>
  </si>
  <si>
    <t>TBA16</t>
  </si>
  <si>
    <t>TBA17</t>
  </si>
  <si>
    <t>TBA18</t>
  </si>
  <si>
    <t>TBA2</t>
  </si>
  <si>
    <t>TBA3</t>
  </si>
  <si>
    <t>TBA4</t>
  </si>
  <si>
    <t>TBA5</t>
  </si>
  <si>
    <t>TBA6</t>
  </si>
  <si>
    <t>TBA7</t>
  </si>
  <si>
    <t>TBA8</t>
  </si>
  <si>
    <t>TBA9</t>
  </si>
  <si>
    <t>TBAX19</t>
  </si>
  <si>
    <t>TBAX20</t>
  </si>
  <si>
    <t>TBAX21</t>
  </si>
  <si>
    <t>TBAX22</t>
  </si>
  <si>
    <t>TBAX23</t>
  </si>
  <si>
    <t>Biochemical_pos</t>
  </si>
  <si>
    <t>Pedegree_size</t>
  </si>
  <si>
    <t>Pedigree size (range)</t>
  </si>
  <si>
    <t>1-70</t>
  </si>
  <si>
    <t>Unique Genetic Variants</t>
  </si>
  <si>
    <t>Biochemically confirmed</t>
  </si>
  <si>
    <t>Genetically Confirmed</t>
  </si>
  <si>
    <t>X</t>
  </si>
  <si>
    <t>Total identified kindreds</t>
  </si>
  <si>
    <t>Total probands</t>
  </si>
  <si>
    <t>Metric</t>
  </si>
  <si>
    <t>Value</t>
  </si>
  <si>
    <t>Notes</t>
  </si>
  <si>
    <t>Total Probands</t>
  </si>
  <si>
    <t>Number of first affected individuals identified</t>
  </si>
  <si>
    <t>Pedigree Size (Range)</t>
  </si>
  <si>
    <t>1–70</t>
  </si>
  <si>
    <t>Size range of families in the pedigree</t>
  </si>
  <si>
    <t>Total number of family members identified</t>
  </si>
  <si>
    <t>Biochemically Confirmed</t>
  </si>
  <si>
    <t>Individuals with confirmed biochemical diagnosis</t>
  </si>
  <si>
    <t>Individuals with confirmed genetic diagnosis</t>
  </si>
  <si>
    <t>Number of distinct pathogenic variants identified</t>
  </si>
  <si>
    <t>Number of individuals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</si>
</sst>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41C3F-3DD4-4E25-BEBC-0E7C05C1D026}">
  <dimension ref="A1:M126"/>
  <sheetViews>
    <sheetView tabSelected="1" workbookViewId="0">
      <selection activeCell="E26" sqref="E26"/>
    </sheetView>
  </sheetViews>
  <sheetFormatPr defaultRowHeight="14.4" x14ac:dyDescent="0.3"/>
  <cols>
    <col min="1" max="1" width="7.21875" bestFit="1" customWidth="1"/>
    <col min="2" max="2" width="9.6640625" bestFit="1" customWidth="1"/>
    <col min="3" max="3" width="12" bestFit="1" customWidth="1"/>
    <col min="4" max="4" width="25.44140625" bestFit="1" customWidth="1"/>
    <col min="11" max="11" width="27.33203125" customWidth="1"/>
    <col min="12" max="12" width="16.88671875" customWidth="1"/>
    <col min="13" max="13" width="41.33203125" bestFit="1" customWidth="1"/>
  </cols>
  <sheetData>
    <row r="1" spans="1:12" x14ac:dyDescent="0.3">
      <c r="A1" t="s">
        <v>0</v>
      </c>
      <c r="B1" t="s">
        <v>1</v>
      </c>
      <c r="C1" t="s">
        <v>33</v>
      </c>
      <c r="D1" t="s">
        <v>32</v>
      </c>
      <c r="F1">
        <f>COUNTA(C2:C123)</f>
        <v>122</v>
      </c>
    </row>
    <row r="2" spans="1:12" x14ac:dyDescent="0.3">
      <c r="A2">
        <v>1</v>
      </c>
      <c r="B2" t="s">
        <v>2</v>
      </c>
      <c r="C2">
        <v>70</v>
      </c>
      <c r="D2">
        <v>19</v>
      </c>
      <c r="F2">
        <f>COUNTIF(D2:D123,"&gt;0")</f>
        <v>114</v>
      </c>
      <c r="G2">
        <v>1</v>
      </c>
      <c r="H2">
        <f>COUNTIF(C:C,G2)</f>
        <v>57</v>
      </c>
      <c r="J2">
        <f>COUNTIF(C:C,"&gt;0")</f>
        <v>123</v>
      </c>
      <c r="K2">
        <v>0</v>
      </c>
      <c r="L2">
        <f>QUARTILE($C$2:$C$123,K2)</f>
        <v>1</v>
      </c>
    </row>
    <row r="3" spans="1:12" x14ac:dyDescent="0.3">
      <c r="A3">
        <v>2</v>
      </c>
      <c r="B3" t="s">
        <v>2</v>
      </c>
      <c r="C3">
        <v>10</v>
      </c>
      <c r="D3">
        <v>2</v>
      </c>
      <c r="F3">
        <f>SUM(D2:D123)</f>
        <v>261</v>
      </c>
      <c r="G3">
        <v>2</v>
      </c>
      <c r="H3">
        <f t="shared" ref="H3:H30" si="0">COUNTIF(C:C,G3)</f>
        <v>9</v>
      </c>
      <c r="K3">
        <v>1</v>
      </c>
      <c r="L3">
        <f t="shared" ref="L3:L6" si="1">QUARTILE($C$2:$C$123,K3)</f>
        <v>1</v>
      </c>
    </row>
    <row r="4" spans="1:12" x14ac:dyDescent="0.3">
      <c r="A4">
        <v>3</v>
      </c>
      <c r="B4" t="s">
        <v>2</v>
      </c>
      <c r="C4">
        <v>4</v>
      </c>
      <c r="D4">
        <v>2</v>
      </c>
      <c r="G4">
        <v>3</v>
      </c>
      <c r="H4">
        <f t="shared" si="0"/>
        <v>9</v>
      </c>
      <c r="K4">
        <v>2</v>
      </c>
      <c r="L4">
        <f t="shared" si="1"/>
        <v>2</v>
      </c>
    </row>
    <row r="5" spans="1:12" x14ac:dyDescent="0.3">
      <c r="A5">
        <v>4</v>
      </c>
      <c r="B5" t="s">
        <v>2</v>
      </c>
      <c r="C5">
        <v>38</v>
      </c>
      <c r="D5">
        <v>14</v>
      </c>
      <c r="G5">
        <v>4</v>
      </c>
      <c r="H5">
        <f t="shared" si="0"/>
        <v>10</v>
      </c>
      <c r="K5">
        <v>3</v>
      </c>
      <c r="L5">
        <f t="shared" si="1"/>
        <v>5.75</v>
      </c>
    </row>
    <row r="6" spans="1:12" x14ac:dyDescent="0.3">
      <c r="A6">
        <v>8</v>
      </c>
      <c r="B6" t="s">
        <v>2</v>
      </c>
      <c r="C6">
        <v>10</v>
      </c>
      <c r="D6">
        <v>3</v>
      </c>
      <c r="G6">
        <v>5</v>
      </c>
      <c r="H6">
        <f t="shared" si="0"/>
        <v>6</v>
      </c>
      <c r="K6">
        <v>4</v>
      </c>
      <c r="L6">
        <f t="shared" si="1"/>
        <v>70</v>
      </c>
    </row>
    <row r="7" spans="1:12" x14ac:dyDescent="0.3">
      <c r="A7">
        <v>9</v>
      </c>
      <c r="B7" t="s">
        <v>2</v>
      </c>
      <c r="C7">
        <v>23</v>
      </c>
      <c r="D7">
        <v>5</v>
      </c>
      <c r="G7">
        <v>6</v>
      </c>
      <c r="H7">
        <f t="shared" si="0"/>
        <v>3</v>
      </c>
    </row>
    <row r="8" spans="1:12" x14ac:dyDescent="0.3">
      <c r="A8">
        <v>10</v>
      </c>
      <c r="B8" t="s">
        <v>2</v>
      </c>
      <c r="C8">
        <v>16</v>
      </c>
      <c r="D8">
        <v>2</v>
      </c>
      <c r="G8">
        <v>7</v>
      </c>
      <c r="H8">
        <f t="shared" si="0"/>
        <v>2</v>
      </c>
    </row>
    <row r="9" spans="1:12" x14ac:dyDescent="0.3">
      <c r="A9">
        <v>11</v>
      </c>
      <c r="B9" t="s">
        <v>2</v>
      </c>
      <c r="C9">
        <v>11</v>
      </c>
      <c r="D9">
        <v>2</v>
      </c>
      <c r="G9">
        <v>8</v>
      </c>
      <c r="H9">
        <f t="shared" si="0"/>
        <v>0</v>
      </c>
    </row>
    <row r="10" spans="1:12" x14ac:dyDescent="0.3">
      <c r="A10">
        <v>12</v>
      </c>
      <c r="B10" t="s">
        <v>2</v>
      </c>
      <c r="C10">
        <v>1</v>
      </c>
      <c r="D10">
        <v>1</v>
      </c>
      <c r="G10">
        <v>9</v>
      </c>
      <c r="H10">
        <f t="shared" si="0"/>
        <v>1</v>
      </c>
    </row>
    <row r="11" spans="1:12" x14ac:dyDescent="0.3">
      <c r="A11">
        <v>13</v>
      </c>
      <c r="B11" t="s">
        <v>2</v>
      </c>
      <c r="C11">
        <v>5</v>
      </c>
      <c r="D11">
        <v>3</v>
      </c>
      <c r="G11">
        <v>10</v>
      </c>
      <c r="H11">
        <f t="shared" si="0"/>
        <v>6</v>
      </c>
    </row>
    <row r="12" spans="1:12" x14ac:dyDescent="0.3">
      <c r="A12">
        <v>28</v>
      </c>
      <c r="B12" t="s">
        <v>2</v>
      </c>
      <c r="C12">
        <v>14</v>
      </c>
      <c r="D12">
        <v>6</v>
      </c>
      <c r="G12">
        <v>11</v>
      </c>
      <c r="H12">
        <f t="shared" si="0"/>
        <v>3</v>
      </c>
    </row>
    <row r="13" spans="1:12" x14ac:dyDescent="0.3">
      <c r="A13">
        <v>29</v>
      </c>
      <c r="B13" t="s">
        <v>2</v>
      </c>
      <c r="C13">
        <v>3</v>
      </c>
      <c r="D13">
        <v>1</v>
      </c>
      <c r="G13">
        <v>12</v>
      </c>
      <c r="H13">
        <f t="shared" si="0"/>
        <v>1</v>
      </c>
      <c r="K13" t="s">
        <v>41</v>
      </c>
      <c r="L13">
        <v>114</v>
      </c>
    </row>
    <row r="14" spans="1:12" x14ac:dyDescent="0.3">
      <c r="A14">
        <v>32</v>
      </c>
      <c r="B14" t="s">
        <v>2</v>
      </c>
      <c r="C14">
        <v>5</v>
      </c>
      <c r="D14">
        <v>2</v>
      </c>
      <c r="G14">
        <v>13</v>
      </c>
      <c r="H14">
        <f t="shared" si="0"/>
        <v>0</v>
      </c>
      <c r="K14" t="s">
        <v>34</v>
      </c>
      <c r="L14" s="1" t="s">
        <v>35</v>
      </c>
    </row>
    <row r="15" spans="1:12" x14ac:dyDescent="0.3">
      <c r="A15">
        <v>41</v>
      </c>
      <c r="B15" t="s">
        <v>2</v>
      </c>
      <c r="C15">
        <v>9</v>
      </c>
      <c r="D15">
        <v>1</v>
      </c>
      <c r="G15">
        <v>14</v>
      </c>
      <c r="H15">
        <f t="shared" si="0"/>
        <v>1</v>
      </c>
      <c r="K15" t="s">
        <v>40</v>
      </c>
      <c r="L15">
        <f>SUM(C2:C123)</f>
        <v>789</v>
      </c>
    </row>
    <row r="16" spans="1:12" x14ac:dyDescent="0.3">
      <c r="A16">
        <v>42</v>
      </c>
      <c r="B16" t="s">
        <v>2</v>
      </c>
      <c r="C16">
        <v>1</v>
      </c>
      <c r="D16">
        <v>1</v>
      </c>
      <c r="G16">
        <v>15</v>
      </c>
      <c r="H16">
        <f t="shared" si="0"/>
        <v>0</v>
      </c>
      <c r="K16" t="s">
        <v>37</v>
      </c>
      <c r="L16">
        <v>261</v>
      </c>
    </row>
    <row r="17" spans="1:13" x14ac:dyDescent="0.3">
      <c r="A17">
        <v>54</v>
      </c>
      <c r="B17" t="s">
        <v>2</v>
      </c>
      <c r="C17">
        <v>2</v>
      </c>
      <c r="D17">
        <v>2</v>
      </c>
      <c r="G17">
        <v>16</v>
      </c>
      <c r="H17">
        <f t="shared" si="0"/>
        <v>1</v>
      </c>
      <c r="K17" t="s">
        <v>38</v>
      </c>
      <c r="L17" t="s">
        <v>39</v>
      </c>
    </row>
    <row r="18" spans="1:13" x14ac:dyDescent="0.3">
      <c r="A18">
        <v>60</v>
      </c>
      <c r="B18" t="s">
        <v>2</v>
      </c>
      <c r="C18">
        <v>6</v>
      </c>
      <c r="D18">
        <v>2</v>
      </c>
      <c r="G18">
        <v>17</v>
      </c>
      <c r="H18">
        <f t="shared" si="0"/>
        <v>0</v>
      </c>
      <c r="K18" t="s">
        <v>36</v>
      </c>
      <c r="L18">
        <v>47</v>
      </c>
    </row>
    <row r="19" spans="1:13" x14ac:dyDescent="0.3">
      <c r="A19">
        <v>64</v>
      </c>
      <c r="B19" t="s">
        <v>2</v>
      </c>
      <c r="C19">
        <v>1</v>
      </c>
      <c r="D19">
        <v>1</v>
      </c>
      <c r="G19">
        <v>18</v>
      </c>
      <c r="H19">
        <f t="shared" si="0"/>
        <v>0</v>
      </c>
    </row>
    <row r="20" spans="1:13" x14ac:dyDescent="0.3">
      <c r="A20">
        <v>66</v>
      </c>
      <c r="B20" t="s">
        <v>2</v>
      </c>
      <c r="C20">
        <v>4</v>
      </c>
      <c r="D20">
        <v>1</v>
      </c>
      <c r="G20">
        <v>19</v>
      </c>
      <c r="H20">
        <f t="shared" si="0"/>
        <v>1</v>
      </c>
    </row>
    <row r="21" spans="1:13" x14ac:dyDescent="0.3">
      <c r="A21">
        <v>67</v>
      </c>
      <c r="B21" t="s">
        <v>2</v>
      </c>
      <c r="C21">
        <v>3</v>
      </c>
      <c r="D21">
        <v>1</v>
      </c>
      <c r="G21">
        <v>20</v>
      </c>
      <c r="H21">
        <f t="shared" si="0"/>
        <v>0</v>
      </c>
      <c r="K21" s="4" t="s">
        <v>42</v>
      </c>
      <c r="L21" s="4" t="s">
        <v>43</v>
      </c>
      <c r="M21" s="4" t="s">
        <v>44</v>
      </c>
    </row>
    <row r="22" spans="1:13" x14ac:dyDescent="0.3">
      <c r="A22">
        <v>70</v>
      </c>
      <c r="B22" t="s">
        <v>2</v>
      </c>
      <c r="C22">
        <v>1</v>
      </c>
      <c r="D22">
        <v>1</v>
      </c>
      <c r="G22">
        <v>21</v>
      </c>
      <c r="H22">
        <f t="shared" si="0"/>
        <v>0</v>
      </c>
      <c r="K22" s="4"/>
      <c r="L22" s="4"/>
      <c r="M22" s="4"/>
    </row>
    <row r="23" spans="1:13" x14ac:dyDescent="0.3">
      <c r="A23">
        <v>74</v>
      </c>
      <c r="B23" t="s">
        <v>2</v>
      </c>
      <c r="C23">
        <v>11</v>
      </c>
      <c r="D23">
        <v>2</v>
      </c>
      <c r="G23">
        <v>22</v>
      </c>
      <c r="H23">
        <f t="shared" si="0"/>
        <v>1</v>
      </c>
      <c r="K23" s="2" t="s">
        <v>45</v>
      </c>
      <c r="L23" s="3">
        <v>114</v>
      </c>
      <c r="M23" s="3" t="s">
        <v>46</v>
      </c>
    </row>
    <row r="24" spans="1:13" x14ac:dyDescent="0.3">
      <c r="A24">
        <v>77</v>
      </c>
      <c r="B24" t="s">
        <v>2</v>
      </c>
      <c r="C24">
        <v>1</v>
      </c>
      <c r="D24">
        <v>1</v>
      </c>
      <c r="G24">
        <v>23</v>
      </c>
      <c r="H24">
        <f t="shared" si="0"/>
        <v>3</v>
      </c>
      <c r="K24" s="2" t="s">
        <v>47</v>
      </c>
      <c r="L24" s="3" t="s">
        <v>48</v>
      </c>
      <c r="M24" s="3" t="s">
        <v>49</v>
      </c>
    </row>
    <row r="25" spans="1:13" x14ac:dyDescent="0.3">
      <c r="A25">
        <v>81</v>
      </c>
      <c r="B25" t="s">
        <v>2</v>
      </c>
      <c r="C25">
        <v>19</v>
      </c>
      <c r="D25">
        <v>5</v>
      </c>
      <c r="G25">
        <v>24</v>
      </c>
      <c r="H25">
        <f t="shared" si="0"/>
        <v>0</v>
      </c>
      <c r="K25" s="2" t="s">
        <v>55</v>
      </c>
      <c r="L25" s="3">
        <v>789</v>
      </c>
      <c r="M25" s="3" t="s">
        <v>50</v>
      </c>
    </row>
    <row r="26" spans="1:13" x14ac:dyDescent="0.3">
      <c r="A26">
        <v>85</v>
      </c>
      <c r="B26" t="s">
        <v>2</v>
      </c>
      <c r="C26">
        <v>1</v>
      </c>
      <c r="D26">
        <v>1</v>
      </c>
      <c r="G26">
        <v>25</v>
      </c>
      <c r="H26">
        <f t="shared" si="0"/>
        <v>0</v>
      </c>
      <c r="K26" s="2" t="s">
        <v>51</v>
      </c>
      <c r="L26" s="3">
        <v>261</v>
      </c>
      <c r="M26" s="3" t="s">
        <v>52</v>
      </c>
    </row>
    <row r="27" spans="1:13" x14ac:dyDescent="0.3">
      <c r="A27">
        <v>15</v>
      </c>
      <c r="B27" t="s">
        <v>2</v>
      </c>
      <c r="C27">
        <v>1</v>
      </c>
      <c r="D27">
        <v>0</v>
      </c>
      <c r="G27">
        <v>26</v>
      </c>
      <c r="H27">
        <f t="shared" si="0"/>
        <v>0</v>
      </c>
      <c r="K27" s="2" t="s">
        <v>38</v>
      </c>
      <c r="L27" s="3">
        <v>123</v>
      </c>
      <c r="M27" s="3" t="s">
        <v>53</v>
      </c>
    </row>
    <row r="28" spans="1:13" x14ac:dyDescent="0.3">
      <c r="A28">
        <v>26</v>
      </c>
      <c r="B28" t="s">
        <v>3</v>
      </c>
      <c r="C28">
        <v>1</v>
      </c>
      <c r="D28">
        <v>1</v>
      </c>
      <c r="G28">
        <v>27</v>
      </c>
      <c r="H28">
        <f t="shared" si="0"/>
        <v>0</v>
      </c>
      <c r="K28" s="2" t="s">
        <v>36</v>
      </c>
      <c r="L28" s="3">
        <v>47</v>
      </c>
      <c r="M28" s="3" t="s">
        <v>54</v>
      </c>
    </row>
    <row r="29" spans="1:13" x14ac:dyDescent="0.3">
      <c r="A29">
        <v>93</v>
      </c>
      <c r="B29" t="s">
        <v>3</v>
      </c>
      <c r="C29">
        <v>4</v>
      </c>
      <c r="D29">
        <v>4</v>
      </c>
      <c r="G29">
        <v>28</v>
      </c>
      <c r="H29">
        <f t="shared" si="0"/>
        <v>1</v>
      </c>
    </row>
    <row r="30" spans="1:13" x14ac:dyDescent="0.3">
      <c r="A30">
        <v>101</v>
      </c>
      <c r="B30" t="s">
        <v>3</v>
      </c>
      <c r="C30">
        <v>2</v>
      </c>
      <c r="D30">
        <v>1</v>
      </c>
      <c r="G30">
        <v>29</v>
      </c>
      <c r="H30">
        <f t="shared" si="0"/>
        <v>1</v>
      </c>
    </row>
    <row r="31" spans="1:13" x14ac:dyDescent="0.3">
      <c r="A31">
        <v>19</v>
      </c>
      <c r="B31" t="s">
        <v>4</v>
      </c>
      <c r="C31">
        <v>1</v>
      </c>
      <c r="D31">
        <v>0</v>
      </c>
    </row>
    <row r="32" spans="1:13" x14ac:dyDescent="0.3">
      <c r="A32">
        <v>20</v>
      </c>
      <c r="B32" t="s">
        <v>4</v>
      </c>
      <c r="C32">
        <v>4</v>
      </c>
      <c r="D32">
        <v>2</v>
      </c>
    </row>
    <row r="33" spans="1:4" x14ac:dyDescent="0.3">
      <c r="A33">
        <v>21</v>
      </c>
      <c r="B33" t="s">
        <v>4</v>
      </c>
      <c r="C33">
        <v>1</v>
      </c>
      <c r="D33">
        <v>1</v>
      </c>
    </row>
    <row r="34" spans="1:4" x14ac:dyDescent="0.3">
      <c r="A34">
        <v>22</v>
      </c>
      <c r="B34" t="s">
        <v>4</v>
      </c>
      <c r="C34">
        <v>4</v>
      </c>
      <c r="D34">
        <v>1</v>
      </c>
    </row>
    <row r="35" spans="1:4" x14ac:dyDescent="0.3">
      <c r="A35">
        <v>23</v>
      </c>
      <c r="B35" t="s">
        <v>4</v>
      </c>
      <c r="C35">
        <v>4</v>
      </c>
      <c r="D35">
        <v>1</v>
      </c>
    </row>
    <row r="36" spans="1:4" x14ac:dyDescent="0.3">
      <c r="A36">
        <v>24</v>
      </c>
      <c r="B36" t="s">
        <v>4</v>
      </c>
      <c r="C36">
        <v>10</v>
      </c>
      <c r="D36">
        <v>2</v>
      </c>
    </row>
    <row r="37" spans="1:4" x14ac:dyDescent="0.3">
      <c r="A37">
        <v>30</v>
      </c>
      <c r="B37" t="s">
        <v>4</v>
      </c>
      <c r="C37">
        <v>10</v>
      </c>
      <c r="D37">
        <v>2</v>
      </c>
    </row>
    <row r="38" spans="1:4" x14ac:dyDescent="0.3">
      <c r="A38">
        <v>35</v>
      </c>
      <c r="B38" t="s">
        <v>4</v>
      </c>
      <c r="C38">
        <v>4</v>
      </c>
      <c r="D38">
        <v>2</v>
      </c>
    </row>
    <row r="39" spans="1:4" x14ac:dyDescent="0.3">
      <c r="A39">
        <v>36</v>
      </c>
      <c r="B39" t="s">
        <v>4</v>
      </c>
      <c r="C39">
        <v>1</v>
      </c>
      <c r="D39">
        <v>1</v>
      </c>
    </row>
    <row r="40" spans="1:4" x14ac:dyDescent="0.3">
      <c r="A40">
        <v>37</v>
      </c>
      <c r="B40" t="s">
        <v>4</v>
      </c>
      <c r="C40">
        <v>1</v>
      </c>
      <c r="D40">
        <v>1</v>
      </c>
    </row>
    <row r="41" spans="1:4" x14ac:dyDescent="0.3">
      <c r="A41">
        <v>43</v>
      </c>
      <c r="B41" t="s">
        <v>4</v>
      </c>
      <c r="C41">
        <v>3</v>
      </c>
      <c r="D41">
        <v>1</v>
      </c>
    </row>
    <row r="42" spans="1:4" x14ac:dyDescent="0.3">
      <c r="A42">
        <v>44</v>
      </c>
      <c r="B42" t="s">
        <v>4</v>
      </c>
      <c r="C42">
        <v>1</v>
      </c>
      <c r="D42">
        <v>1</v>
      </c>
    </row>
    <row r="43" spans="1:4" x14ac:dyDescent="0.3">
      <c r="A43">
        <v>52</v>
      </c>
      <c r="B43" t="s">
        <v>4</v>
      </c>
      <c r="C43">
        <v>1</v>
      </c>
      <c r="D43">
        <v>1</v>
      </c>
    </row>
    <row r="44" spans="1:4" x14ac:dyDescent="0.3">
      <c r="A44">
        <v>57</v>
      </c>
      <c r="B44" t="s">
        <v>4</v>
      </c>
      <c r="C44">
        <v>6</v>
      </c>
      <c r="D44">
        <v>2</v>
      </c>
    </row>
    <row r="45" spans="1:4" x14ac:dyDescent="0.3">
      <c r="A45">
        <v>59</v>
      </c>
      <c r="B45" t="s">
        <v>4</v>
      </c>
      <c r="C45">
        <v>1</v>
      </c>
      <c r="D45">
        <v>1</v>
      </c>
    </row>
    <row r="46" spans="1:4" x14ac:dyDescent="0.3">
      <c r="A46">
        <v>72</v>
      </c>
      <c r="B46" t="s">
        <v>4</v>
      </c>
      <c r="C46">
        <v>1</v>
      </c>
      <c r="D46">
        <v>1</v>
      </c>
    </row>
    <row r="47" spans="1:4" x14ac:dyDescent="0.3">
      <c r="A47">
        <v>83</v>
      </c>
      <c r="B47" t="s">
        <v>4</v>
      </c>
      <c r="C47">
        <v>3</v>
      </c>
      <c r="D47">
        <v>1</v>
      </c>
    </row>
    <row r="48" spans="1:4" x14ac:dyDescent="0.3">
      <c r="A48">
        <v>84</v>
      </c>
      <c r="B48" t="s">
        <v>4</v>
      </c>
      <c r="C48">
        <v>2</v>
      </c>
      <c r="D48">
        <v>1</v>
      </c>
    </row>
    <row r="49" spans="1:4" x14ac:dyDescent="0.3">
      <c r="A49">
        <v>87</v>
      </c>
      <c r="B49" t="s">
        <v>4</v>
      </c>
      <c r="C49">
        <v>1</v>
      </c>
      <c r="D49">
        <v>1</v>
      </c>
    </row>
    <row r="50" spans="1:4" x14ac:dyDescent="0.3">
      <c r="A50">
        <v>90</v>
      </c>
      <c r="B50" t="s">
        <v>4</v>
      </c>
      <c r="C50">
        <v>5</v>
      </c>
      <c r="D50">
        <v>1</v>
      </c>
    </row>
    <row r="51" spans="1:4" x14ac:dyDescent="0.3">
      <c r="A51">
        <v>94</v>
      </c>
      <c r="B51" t="s">
        <v>4</v>
      </c>
      <c r="C51">
        <v>2</v>
      </c>
      <c r="D51">
        <v>1</v>
      </c>
    </row>
    <row r="52" spans="1:4" x14ac:dyDescent="0.3">
      <c r="A52">
        <v>95</v>
      </c>
      <c r="B52" t="s">
        <v>4</v>
      </c>
      <c r="C52">
        <v>1</v>
      </c>
      <c r="D52">
        <v>0</v>
      </c>
    </row>
    <row r="53" spans="1:4" x14ac:dyDescent="0.3">
      <c r="A53">
        <v>97</v>
      </c>
      <c r="B53" t="s">
        <v>4</v>
      </c>
      <c r="C53">
        <v>1</v>
      </c>
      <c r="D53">
        <v>1</v>
      </c>
    </row>
    <row r="54" spans="1:4" x14ac:dyDescent="0.3">
      <c r="A54">
        <v>99</v>
      </c>
      <c r="B54" t="s">
        <v>4</v>
      </c>
      <c r="C54">
        <v>2</v>
      </c>
      <c r="D54">
        <v>1</v>
      </c>
    </row>
    <row r="55" spans="1:4" x14ac:dyDescent="0.3">
      <c r="A55">
        <v>102</v>
      </c>
      <c r="B55" t="s">
        <v>4</v>
      </c>
      <c r="C55">
        <v>1</v>
      </c>
      <c r="D55">
        <v>2</v>
      </c>
    </row>
    <row r="56" spans="1:4" x14ac:dyDescent="0.3">
      <c r="A56">
        <v>103</v>
      </c>
      <c r="B56" t="s">
        <v>4</v>
      </c>
      <c r="C56">
        <v>1</v>
      </c>
      <c r="D56">
        <v>0</v>
      </c>
    </row>
    <row r="57" spans="1:4" x14ac:dyDescent="0.3">
      <c r="A57">
        <v>27</v>
      </c>
      <c r="B57" t="s">
        <v>5</v>
      </c>
      <c r="C57">
        <v>5</v>
      </c>
      <c r="D57">
        <v>2</v>
      </c>
    </row>
    <row r="58" spans="1:4" x14ac:dyDescent="0.3">
      <c r="A58">
        <v>31</v>
      </c>
      <c r="B58" t="s">
        <v>5</v>
      </c>
      <c r="C58">
        <v>10</v>
      </c>
      <c r="D58">
        <v>6</v>
      </c>
    </row>
    <row r="59" spans="1:4" x14ac:dyDescent="0.3">
      <c r="A59">
        <v>45</v>
      </c>
      <c r="B59" t="s">
        <v>5</v>
      </c>
      <c r="C59">
        <v>1</v>
      </c>
      <c r="D59">
        <v>1</v>
      </c>
    </row>
    <row r="60" spans="1:4" x14ac:dyDescent="0.3">
      <c r="A60">
        <v>62</v>
      </c>
      <c r="B60" t="s">
        <v>5</v>
      </c>
      <c r="C60">
        <v>1</v>
      </c>
      <c r="D60">
        <v>1</v>
      </c>
    </row>
    <row r="61" spans="1:4" x14ac:dyDescent="0.3">
      <c r="A61">
        <v>69</v>
      </c>
      <c r="B61" t="s">
        <v>5</v>
      </c>
      <c r="C61">
        <v>4</v>
      </c>
      <c r="D61">
        <v>2</v>
      </c>
    </row>
    <row r="62" spans="1:4" x14ac:dyDescent="0.3">
      <c r="A62">
        <v>86</v>
      </c>
      <c r="B62" t="s">
        <v>5</v>
      </c>
      <c r="C62">
        <v>3</v>
      </c>
      <c r="D62">
        <v>2</v>
      </c>
    </row>
    <row r="63" spans="1:4" x14ac:dyDescent="0.3">
      <c r="A63">
        <v>96</v>
      </c>
      <c r="B63" t="s">
        <v>5</v>
      </c>
      <c r="C63">
        <v>3</v>
      </c>
      <c r="D63">
        <v>2</v>
      </c>
    </row>
    <row r="64" spans="1:4" x14ac:dyDescent="0.3">
      <c r="A64">
        <v>98</v>
      </c>
      <c r="B64" t="s">
        <v>5</v>
      </c>
      <c r="C64">
        <v>3</v>
      </c>
      <c r="D64">
        <v>1</v>
      </c>
    </row>
    <row r="65" spans="1:4" x14ac:dyDescent="0.3">
      <c r="A65">
        <v>5</v>
      </c>
      <c r="B65" t="s">
        <v>6</v>
      </c>
      <c r="C65">
        <v>23</v>
      </c>
      <c r="D65">
        <v>6</v>
      </c>
    </row>
    <row r="66" spans="1:4" x14ac:dyDescent="0.3">
      <c r="A66">
        <v>6</v>
      </c>
      <c r="B66" t="s">
        <v>6</v>
      </c>
      <c r="C66">
        <v>10</v>
      </c>
      <c r="D66">
        <v>3</v>
      </c>
    </row>
    <row r="67" spans="1:4" x14ac:dyDescent="0.3">
      <c r="A67">
        <v>14</v>
      </c>
      <c r="B67" t="s">
        <v>6</v>
      </c>
      <c r="C67">
        <v>41</v>
      </c>
      <c r="D67">
        <v>4</v>
      </c>
    </row>
    <row r="68" spans="1:4" x14ac:dyDescent="0.3">
      <c r="A68">
        <v>25</v>
      </c>
      <c r="B68" t="s">
        <v>6</v>
      </c>
      <c r="C68">
        <v>2</v>
      </c>
      <c r="D68">
        <v>1</v>
      </c>
    </row>
    <row r="69" spans="1:4" x14ac:dyDescent="0.3">
      <c r="A69">
        <v>38</v>
      </c>
      <c r="B69" t="s">
        <v>6</v>
      </c>
      <c r="C69">
        <v>29</v>
      </c>
      <c r="D69">
        <v>5</v>
      </c>
    </row>
    <row r="70" spans="1:4" x14ac:dyDescent="0.3">
      <c r="A70">
        <v>39</v>
      </c>
      <c r="B70" t="s">
        <v>6</v>
      </c>
      <c r="C70">
        <v>28</v>
      </c>
      <c r="D70">
        <v>6</v>
      </c>
    </row>
    <row r="71" spans="1:4" x14ac:dyDescent="0.3">
      <c r="A71">
        <v>40</v>
      </c>
      <c r="B71" t="s">
        <v>6</v>
      </c>
      <c r="C71">
        <v>5</v>
      </c>
      <c r="D71">
        <v>1</v>
      </c>
    </row>
    <row r="72" spans="1:4" x14ac:dyDescent="0.3">
      <c r="A72">
        <v>46</v>
      </c>
      <c r="B72" t="s">
        <v>6</v>
      </c>
      <c r="C72">
        <v>1</v>
      </c>
      <c r="D72">
        <v>0</v>
      </c>
    </row>
    <row r="73" spans="1:4" x14ac:dyDescent="0.3">
      <c r="A73">
        <v>48</v>
      </c>
      <c r="B73" t="s">
        <v>6</v>
      </c>
      <c r="C73">
        <v>12</v>
      </c>
      <c r="D73">
        <v>3</v>
      </c>
    </row>
    <row r="74" spans="1:4" x14ac:dyDescent="0.3">
      <c r="A74">
        <v>58</v>
      </c>
      <c r="B74" t="s">
        <v>6</v>
      </c>
      <c r="C74">
        <v>1</v>
      </c>
      <c r="D74">
        <v>1</v>
      </c>
    </row>
    <row r="75" spans="1:4" x14ac:dyDescent="0.3">
      <c r="A75">
        <v>49</v>
      </c>
      <c r="B75" t="s">
        <v>7</v>
      </c>
      <c r="C75">
        <v>7</v>
      </c>
      <c r="D75">
        <v>2</v>
      </c>
    </row>
    <row r="76" spans="1:4" x14ac:dyDescent="0.3">
      <c r="A76">
        <v>61</v>
      </c>
      <c r="B76" t="s">
        <v>2</v>
      </c>
      <c r="C76">
        <v>1</v>
      </c>
      <c r="D76">
        <v>1</v>
      </c>
    </row>
    <row r="77" spans="1:4" x14ac:dyDescent="0.3">
      <c r="A77">
        <v>78</v>
      </c>
      <c r="B77" t="s">
        <v>5</v>
      </c>
      <c r="C77">
        <v>2</v>
      </c>
      <c r="D77">
        <v>1</v>
      </c>
    </row>
    <row r="78" spans="1:4" x14ac:dyDescent="0.3">
      <c r="A78">
        <v>80</v>
      </c>
      <c r="B78" t="s">
        <v>5</v>
      </c>
      <c r="C78">
        <v>2</v>
      </c>
      <c r="D78">
        <v>0</v>
      </c>
    </row>
    <row r="79" spans="1:4" x14ac:dyDescent="0.3">
      <c r="A79">
        <v>89</v>
      </c>
      <c r="B79" t="s">
        <v>4</v>
      </c>
      <c r="C79">
        <v>1</v>
      </c>
      <c r="D79">
        <v>1</v>
      </c>
    </row>
    <row r="80" spans="1:4" x14ac:dyDescent="0.3">
      <c r="A80">
        <v>92</v>
      </c>
      <c r="B80" t="s">
        <v>5</v>
      </c>
      <c r="C80">
        <v>1</v>
      </c>
      <c r="D80">
        <v>0</v>
      </c>
    </row>
    <row r="81" spans="1:4" x14ac:dyDescent="0.3">
      <c r="A81">
        <v>7</v>
      </c>
      <c r="B81" t="s">
        <v>7</v>
      </c>
      <c r="C81">
        <v>46</v>
      </c>
      <c r="D81">
        <v>19</v>
      </c>
    </row>
    <row r="82" spans="1:4" x14ac:dyDescent="0.3">
      <c r="A82">
        <v>16</v>
      </c>
      <c r="B82" t="s">
        <v>7</v>
      </c>
      <c r="C82">
        <v>49</v>
      </c>
      <c r="D82">
        <v>12</v>
      </c>
    </row>
    <row r="83" spans="1:4" x14ac:dyDescent="0.3">
      <c r="A83">
        <v>17</v>
      </c>
      <c r="B83" t="s">
        <v>7</v>
      </c>
      <c r="C83">
        <v>30</v>
      </c>
      <c r="D83">
        <v>10</v>
      </c>
    </row>
    <row r="84" spans="1:4" x14ac:dyDescent="0.3">
      <c r="A84">
        <v>18</v>
      </c>
      <c r="B84" t="s">
        <v>7</v>
      </c>
      <c r="C84">
        <v>22</v>
      </c>
      <c r="D84">
        <v>5</v>
      </c>
    </row>
    <row r="85" spans="1:4" x14ac:dyDescent="0.3">
      <c r="A85">
        <v>33</v>
      </c>
      <c r="B85" t="s">
        <v>7</v>
      </c>
      <c r="C85">
        <v>6</v>
      </c>
      <c r="D85">
        <v>2</v>
      </c>
    </row>
    <row r="86" spans="1:4" x14ac:dyDescent="0.3">
      <c r="A86">
        <v>34</v>
      </c>
      <c r="B86" t="s">
        <v>7</v>
      </c>
      <c r="C86">
        <v>1</v>
      </c>
      <c r="D86">
        <v>1</v>
      </c>
    </row>
    <row r="87" spans="1:4" x14ac:dyDescent="0.3">
      <c r="A87">
        <v>47</v>
      </c>
      <c r="B87" t="s">
        <v>7</v>
      </c>
      <c r="C87">
        <v>4</v>
      </c>
      <c r="D87">
        <v>3</v>
      </c>
    </row>
    <row r="88" spans="1:4" x14ac:dyDescent="0.3">
      <c r="A88">
        <v>50</v>
      </c>
      <c r="B88" t="s">
        <v>7</v>
      </c>
      <c r="C88">
        <v>11</v>
      </c>
      <c r="D88">
        <v>3</v>
      </c>
    </row>
    <row r="89" spans="1:4" x14ac:dyDescent="0.3">
      <c r="A89">
        <v>51</v>
      </c>
      <c r="B89" t="s">
        <v>7</v>
      </c>
      <c r="C89">
        <v>3</v>
      </c>
      <c r="D89">
        <v>2</v>
      </c>
    </row>
    <row r="90" spans="1:4" x14ac:dyDescent="0.3">
      <c r="A90">
        <v>53</v>
      </c>
      <c r="B90" t="s">
        <v>7</v>
      </c>
      <c r="C90">
        <v>1</v>
      </c>
      <c r="D90">
        <v>1</v>
      </c>
    </row>
    <row r="91" spans="1:4" x14ac:dyDescent="0.3">
      <c r="A91">
        <v>55</v>
      </c>
      <c r="B91" t="s">
        <v>7</v>
      </c>
      <c r="C91">
        <v>2</v>
      </c>
      <c r="D91">
        <v>1</v>
      </c>
    </row>
    <row r="92" spans="1:4" x14ac:dyDescent="0.3">
      <c r="A92">
        <v>56</v>
      </c>
      <c r="B92" t="s">
        <v>7</v>
      </c>
      <c r="C92">
        <v>5</v>
      </c>
      <c r="D92">
        <v>1</v>
      </c>
    </row>
    <row r="93" spans="1:4" x14ac:dyDescent="0.3">
      <c r="A93">
        <v>63</v>
      </c>
      <c r="B93" t="s">
        <v>7</v>
      </c>
      <c r="C93">
        <v>1</v>
      </c>
      <c r="D93">
        <v>1</v>
      </c>
    </row>
    <row r="94" spans="1:4" x14ac:dyDescent="0.3">
      <c r="A94">
        <v>65</v>
      </c>
      <c r="B94" t="s">
        <v>7</v>
      </c>
      <c r="C94">
        <v>1</v>
      </c>
      <c r="D94">
        <v>1</v>
      </c>
    </row>
    <row r="95" spans="1:4" x14ac:dyDescent="0.3">
      <c r="A95">
        <v>73</v>
      </c>
      <c r="B95" t="s">
        <v>7</v>
      </c>
      <c r="C95">
        <v>23</v>
      </c>
      <c r="D95">
        <v>3</v>
      </c>
    </row>
    <row r="96" spans="1:4" x14ac:dyDescent="0.3">
      <c r="A96">
        <v>82</v>
      </c>
      <c r="B96" t="s">
        <v>7</v>
      </c>
      <c r="C96">
        <v>4</v>
      </c>
      <c r="D96">
        <v>1</v>
      </c>
    </row>
    <row r="97" spans="1:4" x14ac:dyDescent="0.3">
      <c r="A97">
        <v>91</v>
      </c>
      <c r="B97" t="s">
        <v>7</v>
      </c>
      <c r="C97">
        <v>3</v>
      </c>
      <c r="D97">
        <v>0</v>
      </c>
    </row>
    <row r="98" spans="1:4" x14ac:dyDescent="0.3">
      <c r="A98">
        <v>104</v>
      </c>
      <c r="B98" t="s">
        <v>7</v>
      </c>
      <c r="C98">
        <v>1</v>
      </c>
      <c r="D98">
        <v>1</v>
      </c>
    </row>
    <row r="99" spans="1:4" x14ac:dyDescent="0.3">
      <c r="A99">
        <v>88</v>
      </c>
      <c r="B99" t="s">
        <v>8</v>
      </c>
      <c r="C99">
        <v>7</v>
      </c>
      <c r="D99">
        <v>2</v>
      </c>
    </row>
    <row r="100" spans="1:4" x14ac:dyDescent="0.3">
      <c r="A100" t="s">
        <v>9</v>
      </c>
      <c r="B100" t="s">
        <v>2</v>
      </c>
      <c r="C100">
        <v>1</v>
      </c>
      <c r="D100">
        <v>1</v>
      </c>
    </row>
    <row r="101" spans="1:4" x14ac:dyDescent="0.3">
      <c r="A101" t="s">
        <v>9</v>
      </c>
      <c r="B101" t="s">
        <v>2</v>
      </c>
      <c r="C101">
        <v>1</v>
      </c>
      <c r="D101">
        <v>1</v>
      </c>
    </row>
    <row r="102" spans="1:4" x14ac:dyDescent="0.3">
      <c r="A102" t="s">
        <v>10</v>
      </c>
      <c r="B102" t="s">
        <v>5</v>
      </c>
      <c r="C102">
        <v>1</v>
      </c>
      <c r="D102">
        <v>1</v>
      </c>
    </row>
    <row r="103" spans="1:4" x14ac:dyDescent="0.3">
      <c r="A103" t="s">
        <v>11</v>
      </c>
      <c r="B103" t="s">
        <v>6</v>
      </c>
      <c r="C103">
        <v>1</v>
      </c>
      <c r="D103">
        <v>1</v>
      </c>
    </row>
    <row r="104" spans="1:4" x14ac:dyDescent="0.3">
      <c r="A104" t="s">
        <v>12</v>
      </c>
      <c r="B104" t="s">
        <v>6</v>
      </c>
      <c r="C104">
        <v>1</v>
      </c>
      <c r="D104">
        <v>1</v>
      </c>
    </row>
    <row r="105" spans="1:4" x14ac:dyDescent="0.3">
      <c r="A105" t="s">
        <v>13</v>
      </c>
      <c r="B105" t="s">
        <v>2</v>
      </c>
      <c r="C105">
        <v>1</v>
      </c>
      <c r="D105">
        <v>1</v>
      </c>
    </row>
    <row r="106" spans="1:4" x14ac:dyDescent="0.3">
      <c r="A106" t="s">
        <v>14</v>
      </c>
      <c r="B106" t="s">
        <v>5</v>
      </c>
      <c r="C106">
        <v>1</v>
      </c>
      <c r="D106">
        <v>1</v>
      </c>
    </row>
    <row r="107" spans="1:4" x14ac:dyDescent="0.3">
      <c r="A107" t="s">
        <v>15</v>
      </c>
      <c r="B107" t="s">
        <v>7</v>
      </c>
      <c r="C107">
        <v>1</v>
      </c>
      <c r="D107">
        <v>1</v>
      </c>
    </row>
    <row r="108" spans="1:4" x14ac:dyDescent="0.3">
      <c r="A108" t="s">
        <v>16</v>
      </c>
      <c r="B108" t="s">
        <v>5</v>
      </c>
      <c r="C108">
        <v>1</v>
      </c>
      <c r="D108">
        <v>1</v>
      </c>
    </row>
    <row r="109" spans="1:4" x14ac:dyDescent="0.3">
      <c r="A109" t="s">
        <v>17</v>
      </c>
      <c r="B109" t="s">
        <v>2</v>
      </c>
      <c r="C109">
        <v>1</v>
      </c>
      <c r="D109">
        <v>1</v>
      </c>
    </row>
    <row r="110" spans="1:4" x14ac:dyDescent="0.3">
      <c r="A110" t="s">
        <v>18</v>
      </c>
      <c r="B110" t="s">
        <v>2</v>
      </c>
      <c r="C110">
        <v>1</v>
      </c>
      <c r="D110">
        <v>1</v>
      </c>
    </row>
    <row r="111" spans="1:4" x14ac:dyDescent="0.3">
      <c r="A111" t="s">
        <v>19</v>
      </c>
      <c r="B111" t="s">
        <v>2</v>
      </c>
      <c r="C111">
        <v>1</v>
      </c>
      <c r="D111">
        <v>1</v>
      </c>
    </row>
    <row r="112" spans="1:4" x14ac:dyDescent="0.3">
      <c r="A112" t="s">
        <v>20</v>
      </c>
      <c r="B112" t="s">
        <v>2</v>
      </c>
      <c r="C112">
        <v>1</v>
      </c>
      <c r="D112">
        <v>1</v>
      </c>
    </row>
    <row r="113" spans="1:4" x14ac:dyDescent="0.3">
      <c r="A113" t="s">
        <v>21</v>
      </c>
      <c r="B113" t="s">
        <v>2</v>
      </c>
      <c r="C113">
        <v>1</v>
      </c>
      <c r="D113">
        <v>1</v>
      </c>
    </row>
    <row r="114" spans="1:4" x14ac:dyDescent="0.3">
      <c r="A114" t="s">
        <v>22</v>
      </c>
      <c r="B114" t="s">
        <v>5</v>
      </c>
      <c r="C114">
        <v>1</v>
      </c>
      <c r="D114">
        <v>1</v>
      </c>
    </row>
    <row r="115" spans="1:4" x14ac:dyDescent="0.3">
      <c r="A115" t="s">
        <v>23</v>
      </c>
      <c r="B115" t="s">
        <v>5</v>
      </c>
      <c r="C115">
        <v>1</v>
      </c>
      <c r="D115">
        <v>1</v>
      </c>
    </row>
    <row r="116" spans="1:4" x14ac:dyDescent="0.3">
      <c r="A116" t="s">
        <v>24</v>
      </c>
      <c r="B116" t="s">
        <v>5</v>
      </c>
      <c r="C116">
        <v>1</v>
      </c>
      <c r="D116">
        <v>1</v>
      </c>
    </row>
    <row r="117" spans="1:4" x14ac:dyDescent="0.3">
      <c r="A117" t="s">
        <v>25</v>
      </c>
      <c r="B117" t="s">
        <v>5</v>
      </c>
      <c r="C117">
        <v>1</v>
      </c>
      <c r="D117">
        <v>1</v>
      </c>
    </row>
    <row r="118" spans="1:4" x14ac:dyDescent="0.3">
      <c r="A118" t="s">
        <v>26</v>
      </c>
      <c r="B118" t="s">
        <v>2</v>
      </c>
      <c r="C118">
        <v>1</v>
      </c>
      <c r="D118">
        <v>1</v>
      </c>
    </row>
    <row r="119" spans="1:4" x14ac:dyDescent="0.3">
      <c r="A119" t="s">
        <v>27</v>
      </c>
      <c r="B119" t="s">
        <v>7</v>
      </c>
      <c r="C119">
        <v>1</v>
      </c>
      <c r="D119">
        <v>1</v>
      </c>
    </row>
    <row r="120" spans="1:4" x14ac:dyDescent="0.3">
      <c r="A120" t="s">
        <v>28</v>
      </c>
      <c r="B120" t="s">
        <v>5</v>
      </c>
      <c r="C120">
        <v>1</v>
      </c>
      <c r="D120">
        <v>1</v>
      </c>
    </row>
    <row r="121" spans="1:4" x14ac:dyDescent="0.3">
      <c r="A121" t="s">
        <v>29</v>
      </c>
      <c r="B121" t="s">
        <v>5</v>
      </c>
      <c r="C121">
        <v>1</v>
      </c>
      <c r="D121">
        <v>1</v>
      </c>
    </row>
    <row r="122" spans="1:4" x14ac:dyDescent="0.3">
      <c r="A122" t="s">
        <v>30</v>
      </c>
      <c r="B122" t="s">
        <v>2</v>
      </c>
      <c r="C122">
        <v>1</v>
      </c>
      <c r="D122">
        <v>1</v>
      </c>
    </row>
    <row r="123" spans="1:4" x14ac:dyDescent="0.3">
      <c r="A123" t="s">
        <v>31</v>
      </c>
      <c r="B123" t="s">
        <v>6</v>
      </c>
      <c r="C123">
        <v>1</v>
      </c>
      <c r="D123">
        <v>1</v>
      </c>
    </row>
    <row r="126" spans="1:4" x14ac:dyDescent="0.3">
      <c r="C126">
        <f>SUM(C2:C123)</f>
        <v>789</v>
      </c>
      <c r="D126">
        <f>SUM(D2:D123)</f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Micheál</dc:creator>
  <cp:lastModifiedBy>Micheál</cp:lastModifiedBy>
  <dcterms:created xsi:type="dcterms:W3CDTF">2024-09-12T18:08:14Z</dcterms:created>
  <dcterms:modified xsi:type="dcterms:W3CDTF">2024-09-15T09:51:33Z</dcterms:modified>
</cp:coreProperties>
</file>